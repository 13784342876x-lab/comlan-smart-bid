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visibility="hidden" xWindow="9210" windowWidth="9210" windowHeight="6570"/>
  </bookViews>
  <sheets>
    <sheet name="施工18个" sheetId="1" r:id="rId1"/>
  </sheets>
  <calcPr calcId="144525"/>
  <oleSize ref="A1:R78"/>
</workbook>
</file>

<file path=xl/sharedStrings.xml><?xml version="1.0" encoding="utf-8"?>
<sst xmlns="http://schemas.openxmlformats.org/spreadsheetml/2006/main" count="181" uniqueCount="154">
  <si>
    <t>2025年第3批输变电工程施工招标计划表</t>
  </si>
  <si>
    <t>序号</t>
  </si>
  <si>
    <t>项目名称</t>
  </si>
  <si>
    <t>电压等级（kV）</t>
  </si>
  <si>
    <t>招标项目名称</t>
  </si>
  <si>
    <t>建设规模</t>
  </si>
  <si>
    <t>标段</t>
  </si>
  <si>
    <t>包号</t>
  </si>
  <si>
    <t>分项限价</t>
  </si>
  <si>
    <t>各包总限价</t>
  </si>
  <si>
    <t>核准文号</t>
  </si>
  <si>
    <t>初设文号</t>
  </si>
  <si>
    <t>项目信息</t>
  </si>
  <si>
    <t>公里</t>
  </si>
  <si>
    <t>万千伏安</t>
  </si>
  <si>
    <t>项目定义号</t>
  </si>
  <si>
    <t>采购申请号</t>
  </si>
  <si>
    <t>行号</t>
  </si>
  <si>
    <t>技术规范书ID号</t>
  </si>
  <si>
    <t>宗州500千伏主变扩建工程</t>
  </si>
  <si>
    <t>0425139001002-2004
电网工程施工-500kV4</t>
  </si>
  <si>
    <t>包1</t>
  </si>
  <si>
    <t>冀发改能源核字[2024]94号</t>
  </si>
  <si>
    <t>预计4月取得批复</t>
  </si>
  <si>
    <t>1304BB240006</t>
  </si>
  <si>
    <t>B001-300002349-0008</t>
  </si>
  <si>
    <t xml:space="preserve">   </t>
  </si>
  <si>
    <t>雄安晾马台220kV输变电工程（土建）</t>
  </si>
  <si>
    <t>晾马台220kV变电站新建工程（建筑部分）</t>
  </si>
  <si>
    <t>0425139001002-2821
电网工程施工-220kV雄安12</t>
  </si>
  <si>
    <t>雄安核准[2024]011号</t>
  </si>
  <si>
    <t>冀电建设〔2025〕10号</t>
  </si>
  <si>
    <t>1504JS230001</t>
  </si>
  <si>
    <t>B001-300000557-00002</t>
  </si>
  <si>
    <t>雄安晾马台220kV输变电工程（变电）</t>
  </si>
  <si>
    <t>晾马台220kV变电站新建工程（安装部分）</t>
  </si>
  <si>
    <t>0425139001002-2822
电网工程施工-220kV雄安13</t>
  </si>
  <si>
    <t>B001-300000554-00003</t>
  </si>
  <si>
    <t>雄安晾马台220kV输变电工程（线路）</t>
  </si>
  <si>
    <t>雄东—晾马台220kV 电缆线路工程（晾马台东侧预留对接点—晾马台变段）</t>
  </si>
  <si>
    <t>0425139001002-2823
电网工程施工-220kV雄安14</t>
  </si>
  <si>
    <t>起步区4号—晾马台220kV 电缆线路工程（晾马台西侧预留对接点—晾马台变段）</t>
  </si>
  <si>
    <t>雄安新区起步区7号站～昝西220kV线路工程</t>
  </si>
  <si>
    <t>雄安新区起步区7号站-昝西220kv线路工程(架空部分)</t>
  </si>
  <si>
    <t>0425139001002-2824
电网工程施工-220kV雄安15</t>
  </si>
  <si>
    <t>雄安新区起步区7号站-昝西220kv线路工程(电缆部分)</t>
  </si>
  <si>
    <t>雄安新区起步区7号站-智西220kv线路工程(变电配套部分)</t>
  </si>
  <si>
    <t>雄安核准 [2025] 002 号</t>
  </si>
  <si>
    <t>1504JS230005</t>
  </si>
  <si>
    <t>B001-300000556-00016</t>
  </si>
  <si>
    <t>石家庄北苑220kV变电站新建工程（土建）</t>
  </si>
  <si>
    <t>北苑220kV变电站新建工程（土建）</t>
  </si>
  <si>
    <t>0425139001002-2314
电网工程施工-220kV39</t>
  </si>
  <si>
    <t>石家庄北苑220kV变电站新建工程（变电安装）</t>
  </si>
  <si>
    <t>北苑220kV变电站新建工程（变电安装）</t>
  </si>
  <si>
    <t>0425139001002-2316
电网工程施工-220kV41</t>
  </si>
  <si>
    <t>沧州石衡沧港城际铁路衡黄段罗庄子220kV牵引站220kV外部供电工程</t>
  </si>
  <si>
    <t>程韩220kV变电站220kV间隔扩建工程</t>
  </si>
  <si>
    <t>0425139001002-2037
电网工程施工-220kV3</t>
  </si>
  <si>
    <t>沧审批核〔2024〕134号</t>
  </si>
  <si>
    <t>1504CZ1900MN</t>
  </si>
  <si>
    <t>D9A0-300000556-00003</t>
  </si>
  <si>
    <t>姚官屯220kV变电站保护改造工程</t>
  </si>
  <si>
    <t>程韩～姚官屯Ⅱ回π入罗庄子牵引站220kV线路工程</t>
  </si>
  <si>
    <t>华润电厂～程韩Ⅰ回220kV线路工程（架空部分）</t>
  </si>
  <si>
    <t>华润电厂～程韩Ⅰ回220kV线路工程（电缆部分）</t>
  </si>
  <si>
    <t>华润电厂～程韩Ⅱ回220kV线路工程（架空部分）</t>
  </si>
  <si>
    <t>华润电厂～程韩Ⅱ回220kV线路工程（电缆部分）</t>
  </si>
  <si>
    <t>华润电厂～姚官屯Ⅰ、Ⅱ回线路（华润电厂侧） 改接至程韩变电站220kV线路工程（架空部分）</t>
  </si>
  <si>
    <t>华润电厂～姚官屯Ⅰ、Ⅱ回线路（华润电厂侧） 改接至程韩变电站220kV线路工程（电缆部分）</t>
  </si>
  <si>
    <t>沧州石衡沧港铁路黄骅新220kV牵引站220kV外部供电工程</t>
  </si>
  <si>
    <t>韩村220kV变电站保护改造工程</t>
  </si>
  <si>
    <t>0425139001002-2319
电网工程施工-220kV44</t>
  </si>
  <si>
    <t>沧审批核〔2024〕161号</t>
  </si>
  <si>
    <t>1504CZ1900MM</t>
  </si>
  <si>
    <t>D9A0-300000556-00002</t>
  </si>
  <si>
    <t>临海220kV变电站保护改造工程</t>
  </si>
  <si>
    <t>徐庄220kV变电站保护改造工程</t>
  </si>
  <si>
    <t>韩村～临海Ⅱ回、徐庄～临海Ⅱ回220kV线路搭接工程</t>
  </si>
  <si>
    <t>临海～黄骅新牵引站Ⅰ回220kV线路工程</t>
  </si>
  <si>
    <t>临海～黄骅新牵引站Ⅱ回220kV线路工程</t>
  </si>
  <si>
    <t>保定雄忻铁路保定南牵引站220kV外部供电工程</t>
  </si>
  <si>
    <t>南郊220kV变电站保定南牵引站间隔改造工程</t>
  </si>
  <si>
    <t>0425139001002-2318
电网工程施工-220kV43</t>
  </si>
  <si>
    <t>保行审投核字〔2024〕39号</t>
  </si>
  <si>
    <t>冀电建设〔2025〕17号</t>
  </si>
  <si>
    <t>1504BD230004</t>
  </si>
  <si>
    <t>D92S-300000556-00002</t>
  </si>
  <si>
    <t>龙泉220kV变电站保定南牵引站间隔扩建工程</t>
  </si>
  <si>
    <t>龙泉-保定南牵引站220kV线路工程-架空部分</t>
  </si>
  <si>
    <t>龙泉-保定南牵引站220kV线路工程-电缆部分</t>
  </si>
  <si>
    <t>南郊-保定南牵引站220kV线路工程-架空部分</t>
  </si>
  <si>
    <t>南郊-保定南牵引站220kV线路工程-电缆部分</t>
  </si>
  <si>
    <t>沧州临海220kV变电站1号、 2号主变增容工程</t>
  </si>
  <si>
    <t>0425139001002-2038
电网工程施工-220kV4</t>
  </si>
  <si>
    <t>1504CZ23000K</t>
  </si>
  <si>
    <t>D9A0-300000555-00004</t>
  </si>
  <si>
    <t>沧州牟庄220kV变电站2号、 3号主变增容工程</t>
  </si>
  <si>
    <t>0425139001002-2320
电网工程施工-220kV45</t>
  </si>
  <si>
    <t>1504CZ240002</t>
  </si>
  <si>
    <t>D9A0-300000555-00003</t>
  </si>
  <si>
    <t>石家庄里丰220kV变电站220kV间隔扩建工程</t>
  </si>
  <si>
    <t>0425139001002-2321
电网工程施工-220kV46</t>
  </si>
  <si>
    <t>沧州河间北司徒110kV输变电工程</t>
  </si>
  <si>
    <t>北司徒110kV变电站新建工程</t>
  </si>
  <si>
    <t>0425139001002-2069
电网工程施工-110kV1</t>
  </si>
  <si>
    <t>沧审批核〔2024〕47号</t>
  </si>
  <si>
    <t>1604CZ2100KA</t>
  </si>
  <si>
    <t>D9A0-300000500-00006</t>
  </si>
  <si>
    <t>行别营220kV变电站110kV北司徒间隔扩建工程</t>
  </si>
  <si>
    <t>行别营～北司徒Ⅰ回110kV线路工程（架空部分）</t>
  </si>
  <si>
    <t>D9A0-300000505-00008</t>
  </si>
  <si>
    <t>行别营～北司徒Ⅰ回110kV线路工程（电缆部分）</t>
  </si>
  <si>
    <t>行别营～北司徒Ⅱ回110kV线路工程（架空部分）</t>
  </si>
  <si>
    <t>行别营～北司徒Ⅱ回110kV线路工程（电缆部分）</t>
  </si>
  <si>
    <t>邯郸曲周四夫人寨110kV输变电工程</t>
  </si>
  <si>
    <t>四夫人寨110kV变电站新建工程</t>
  </si>
  <si>
    <t>包2</t>
  </si>
  <si>
    <t>邯审批核准字〔2023〕47号</t>
  </si>
  <si>
    <t>冀电建设〔2024〕78号</t>
  </si>
  <si>
    <t>1604HD1804AJ</t>
  </si>
  <si>
    <t>D9LV-300000494-00001</t>
  </si>
  <si>
    <t>翟固220kV变电站110kV四夫人寨间隔扩建工程</t>
  </si>
  <si>
    <t>翟固～四夫人寨110kV线路工程</t>
  </si>
  <si>
    <t>大寨～安寨T接四夫人寨变电站110kV线路工程</t>
  </si>
  <si>
    <t>保定清苑新城110kV输变电工程</t>
  </si>
  <si>
    <t>新城110kV变电站新建工程</t>
  </si>
  <si>
    <t>包3</t>
  </si>
  <si>
    <t>保行审投核字〔2024〕33号</t>
  </si>
  <si>
    <t>冀电建设〔2025〕21号(</t>
  </si>
  <si>
    <t>1604BD21002F</t>
  </si>
  <si>
    <t>D92S-300000494-00002</t>
  </si>
  <si>
    <t>邓村220kV变电站保护改造工程</t>
  </si>
  <si>
    <t>赵庄110kV变电站保护改造工程</t>
  </si>
  <si>
    <t>龙泉～新城110kV线路工程（架空部分）</t>
  </si>
  <si>
    <t>龙泉～新城110kV线路工程（电缆部分）</t>
  </si>
  <si>
    <t>邓村～赵庄T接新城变电站110kV线路工程 （架空部分）</t>
  </si>
  <si>
    <t>邓村～赵庄T接新城变电站110kV线路工程 （电缆部分）</t>
  </si>
  <si>
    <t>石家庄元氏万花～郭村双回路T接西富变电站110kV线路新建工程</t>
  </si>
  <si>
    <t>西富220kV变电站110kV万花（郭村）间隔扩建工程</t>
  </si>
  <si>
    <t>0425139001002-2071
电网工程施工-110kV3</t>
  </si>
  <si>
    <t>万花220kV变电站110kV间隔改造工程</t>
  </si>
  <si>
    <t>郭村110kV变电站保护改造工程</t>
  </si>
  <si>
    <t>万花~郭村Ⅰ回T接西富变电站110kV线路工程（架空部分）</t>
  </si>
  <si>
    <t>万花~郭村Ⅰ回T接西富变电站110kV线路工程（电缆部分）</t>
  </si>
  <si>
    <t>万花~郭村Ⅱ回T接西富变电站110kV线路工程（架空部分）</t>
  </si>
  <si>
    <t>万花~郭村Ⅱ回T接西富变电站110kV线路工程（电缆部分）</t>
  </si>
  <si>
    <t>沧州泊头前寺门110kV变电站3号主变扩建工程</t>
  </si>
  <si>
    <t>前寺门110kV变电站3号主变扩建工程</t>
  </si>
  <si>
    <t>0425139001002-2072
电网工程施工-110kV4</t>
  </si>
  <si>
    <t>1604CZ23002D</t>
  </si>
  <si>
    <t>D9A0-300000500-00005</t>
  </si>
  <si>
    <t>泊营～北孟T接前寺门（泊营、北孟侧）改接至泊营变电站110kV线路工程</t>
  </si>
  <si>
    <t>D9A0-300000505-00007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</si>
</sst>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00_ "/>
    <numFmt numFmtId="177" formatCode="#,##0.000"/>
  </numFmts>
  <fonts count="38">
    <font>
      <sz val="12"/>
      <name val="宋体"/>
      <charset val="134"/>
    </font>
    <font>
      <b/>
      <sz val="12"/>
      <name val="宋体"/>
      <charset val="134"/>
    </font>
    <font>
      <b/>
      <sz val="20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.55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0"/>
      <name val="Helv"/>
      <charset val="0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3" fillId="10" borderId="19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18" borderId="26" applyNumberFormat="0" applyFon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 applyNumberFormat="0" applyFont="0" applyFill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4" fillId="6" borderId="20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31" fillId="17" borderId="25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6" fillId="0" borderId="0"/>
    <xf numFmtId="0" fontId="37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51" applyFont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5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NumberFormat="1" applyFont="1" applyFill="1" applyBorder="1" applyAlignment="1">
      <alignment horizontal="center" vertical="center"/>
    </xf>
    <xf numFmtId="0" fontId="4" fillId="0" borderId="1" xfId="19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4" fillId="0" borderId="6" xfId="5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9" xfId="50" applyFont="1" applyFill="1" applyBorder="1" applyAlignment="1">
      <alignment horizontal="center" vertical="center"/>
    </xf>
    <xf numFmtId="0" fontId="4" fillId="0" borderId="10" xfId="5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3" fillId="0" borderId="6" xfId="51" applyFont="1" applyBorder="1" applyAlignment="1">
      <alignment horizontal="center" vertical="center" wrapText="1"/>
    </xf>
    <xf numFmtId="0" fontId="3" fillId="0" borderId="13" xfId="5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5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1" fillId="0" borderId="1" xfId="19" applyNumberFormat="1" applyFont="1" applyFill="1" applyBorder="1" applyAlignment="1" applyProtection="1">
      <alignment vertical="center" wrapText="1"/>
    </xf>
    <xf numFmtId="0" fontId="4" fillId="0" borderId="1" xfId="50" applyNumberFormat="1" applyFont="1" applyFill="1" applyBorder="1" applyAlignment="1">
      <alignment horizontal="center" vertical="center" wrapText="1"/>
    </xf>
    <xf numFmtId="0" fontId="4" fillId="0" borderId="2" xfId="5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5" fillId="0" borderId="5" xfId="0" applyFont="1" applyFill="1" applyBorder="1" applyAlignment="1">
      <alignment horizontal="center" vertical="center"/>
    </xf>
    <xf numFmtId="0" fontId="4" fillId="0" borderId="3" xfId="50" applyFont="1" applyFill="1" applyBorder="1" applyAlignment="1">
      <alignment horizontal="center" vertical="center"/>
    </xf>
    <xf numFmtId="176" fontId="4" fillId="0" borderId="1" xfId="5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4" fillId="0" borderId="9" xfId="50" applyNumberFormat="1" applyFont="1" applyFill="1" applyBorder="1" applyAlignment="1">
      <alignment horizontal="center" vertical="center"/>
    </xf>
    <xf numFmtId="0" fontId="4" fillId="0" borderId="15" xfId="5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vertical="center"/>
    </xf>
    <xf numFmtId="0" fontId="13" fillId="0" borderId="1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2013年第六批施工招标计划" xfId="50"/>
    <cellStyle name="常规_Sheet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2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2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3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3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4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5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3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4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5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6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8" name="Text Box 4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9" name="Text Box 5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0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1" name="Text Box 8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2" name="Text Box 11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3" name="Text Box 1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4" name="Text Box 23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5" name="Text Box 25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76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8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8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9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9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0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11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1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12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2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3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14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4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15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5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16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6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6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6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7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7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8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8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9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20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0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21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1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2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2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2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2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23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3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24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4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5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26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6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7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27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27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7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8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29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29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30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0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1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1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1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1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32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2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33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3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4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35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5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6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36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36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6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7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38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8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39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39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0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41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1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42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2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3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44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4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45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5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46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6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6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6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47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7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48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8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49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50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0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1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51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51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1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2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53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3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54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4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55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5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5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5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56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6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57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7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8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59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59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0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0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1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17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18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19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0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1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2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3" name="Text Box 4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4" name="Text Box 5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5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6" name="Text Box 8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7" name="Text Box 11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8" name="Text Box 1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29" name="Text Box 23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30" name="Text Box 25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66</xdr:row>
      <xdr:rowOff>24130</xdr:rowOff>
    </xdr:to>
    <xdr:sp>
      <xdr:nvSpPr>
        <xdr:cNvPr id="631" name="Text Box 6"/>
        <xdr:cNvSpPr txBox="1"/>
      </xdr:nvSpPr>
      <xdr:spPr>
        <a:xfrm>
          <a:off x="237490" y="13858875"/>
          <a:ext cx="6731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3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3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4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5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5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6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6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7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8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8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2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3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4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697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8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699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1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2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3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4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5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6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7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8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09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0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122555</xdr:rowOff>
    </xdr:to>
    <xdr:sp>
      <xdr:nvSpPr>
        <xdr:cNvPr id="712" name="Text Box 1"/>
        <xdr:cNvSpPr txBox="1"/>
      </xdr:nvSpPr>
      <xdr:spPr>
        <a:xfrm>
          <a:off x="237490" y="13858875"/>
          <a:ext cx="7175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3" name="Text Box 4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4" name="Text Box 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5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6" name="Text Box 8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7" name="Text Box 11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8" name="Text Box 1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19" name="Text Box 23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20" name="Text Box 25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66</xdr:row>
      <xdr:rowOff>24130</xdr:rowOff>
    </xdr:to>
    <xdr:sp>
      <xdr:nvSpPr>
        <xdr:cNvPr id="721" name="Text Box 6"/>
        <xdr:cNvSpPr txBox="1"/>
      </xdr:nvSpPr>
      <xdr:spPr>
        <a:xfrm>
          <a:off x="237490" y="13858875"/>
          <a:ext cx="84455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72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2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3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74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4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75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5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6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77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7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8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78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78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8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79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80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0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81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1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2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2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2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2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83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3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84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4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5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86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6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7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87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87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7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8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89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89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90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0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91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1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1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1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2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2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3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3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4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5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5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6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6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7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8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8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99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99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0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01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1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2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2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102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2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7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8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39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1042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3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4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6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7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8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49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0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1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2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3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4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5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187325</xdr:colOff>
      <xdr:row>63</xdr:row>
      <xdr:rowOff>122555</xdr:rowOff>
    </xdr:to>
    <xdr:sp>
      <xdr:nvSpPr>
        <xdr:cNvPr id="1057" name="Text Box 1"/>
        <xdr:cNvSpPr txBox="1"/>
      </xdr:nvSpPr>
      <xdr:spPr>
        <a:xfrm>
          <a:off x="237490" y="13858875"/>
          <a:ext cx="187325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8" name="Text Box 4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59" name="Text Box 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0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1" name="Text Box 8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2" name="Text Box 11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3" name="Text Box 1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4" name="Text Box 23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5" name="Text Box 25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66</xdr:row>
      <xdr:rowOff>24130</xdr:rowOff>
    </xdr:to>
    <xdr:sp>
      <xdr:nvSpPr>
        <xdr:cNvPr id="1066" name="Text Box 6"/>
        <xdr:cNvSpPr txBox="1"/>
      </xdr:nvSpPr>
      <xdr:spPr>
        <a:xfrm>
          <a:off x="237490" y="13858875"/>
          <a:ext cx="20447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6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6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6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07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7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2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3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4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087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8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89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1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2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3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4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5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6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7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8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099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0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122555</xdr:rowOff>
    </xdr:to>
    <xdr:sp>
      <xdr:nvSpPr>
        <xdr:cNvPr id="1102" name="Text Box 1"/>
        <xdr:cNvSpPr txBox="1"/>
      </xdr:nvSpPr>
      <xdr:spPr>
        <a:xfrm>
          <a:off x="237490" y="13858875"/>
          <a:ext cx="12700" cy="1225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3" name="Text Box 4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4" name="Text Box 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5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6" name="Text Box 8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7" name="Text Box 11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8" name="Text Box 1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09" name="Text Box 23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10" name="Text Box 25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66</xdr:row>
      <xdr:rowOff>24130</xdr:rowOff>
    </xdr:to>
    <xdr:sp>
      <xdr:nvSpPr>
        <xdr:cNvPr id="1111" name="Text Box 6"/>
        <xdr:cNvSpPr txBox="1"/>
      </xdr:nvSpPr>
      <xdr:spPr>
        <a:xfrm>
          <a:off x="237490" y="13858875"/>
          <a:ext cx="12700" cy="56705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1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1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2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32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3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4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6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7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8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39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0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4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4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5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62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3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4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6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7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8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69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70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7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2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3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4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5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6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7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8" name="Text Box 4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79" name="Text Box 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0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1" name="Text Box 8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2" name="Text Box 11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3" name="Text Box 1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4" name="Text Box 23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5" name="Text Box 2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186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8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8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8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192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3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4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6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7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8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199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0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20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0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1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222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3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4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6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7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8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29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0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23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3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4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252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3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4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6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7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8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59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0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123825</xdr:rowOff>
    </xdr:to>
    <xdr:sp>
      <xdr:nvSpPr>
        <xdr:cNvPr id="1267" name="Text Box 1"/>
        <xdr:cNvSpPr txBox="1"/>
      </xdr:nvSpPr>
      <xdr:spPr>
        <a:xfrm>
          <a:off x="237490" y="13858875"/>
          <a:ext cx="71755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6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27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7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7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7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28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8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29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29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0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31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1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32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2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3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3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3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3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34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4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357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5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6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37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7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8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38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38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8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39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40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0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41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1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2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2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2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2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43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3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447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4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5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46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6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7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47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47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7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8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49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49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50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0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1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52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2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53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3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4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55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5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56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6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57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7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7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7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58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8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597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59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0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179070</xdr:colOff>
      <xdr:row>63</xdr:row>
      <xdr:rowOff>123825</xdr:rowOff>
    </xdr:to>
    <xdr:sp>
      <xdr:nvSpPr>
        <xdr:cNvPr id="1612" name="Text Box 1"/>
        <xdr:cNvSpPr txBox="1"/>
      </xdr:nvSpPr>
      <xdr:spPr>
        <a:xfrm>
          <a:off x="237490" y="13858875"/>
          <a:ext cx="17907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3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4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6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7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8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19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20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62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62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2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3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642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3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4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6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7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8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49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0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123825</xdr:rowOff>
    </xdr:to>
    <xdr:sp>
      <xdr:nvSpPr>
        <xdr:cNvPr id="1657" name="Text Box 1"/>
        <xdr:cNvSpPr txBox="1"/>
      </xdr:nvSpPr>
      <xdr:spPr>
        <a:xfrm>
          <a:off x="237490" y="13858875"/>
          <a:ext cx="12700" cy="1238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5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66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67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68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69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0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1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2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3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4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5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6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71755</xdr:colOff>
      <xdr:row>63</xdr:row>
      <xdr:rowOff>121285</xdr:rowOff>
    </xdr:to>
    <xdr:sp>
      <xdr:nvSpPr>
        <xdr:cNvPr id="1677" name="Text Box 1"/>
        <xdr:cNvSpPr txBox="1"/>
      </xdr:nvSpPr>
      <xdr:spPr>
        <a:xfrm>
          <a:off x="237490" y="13858875"/>
          <a:ext cx="71755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78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79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80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81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82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83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84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85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86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87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88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89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191770</xdr:colOff>
      <xdr:row>63</xdr:row>
      <xdr:rowOff>121285</xdr:rowOff>
    </xdr:to>
    <xdr:sp>
      <xdr:nvSpPr>
        <xdr:cNvPr id="1690" name="Text Box 1"/>
        <xdr:cNvSpPr txBox="1"/>
      </xdr:nvSpPr>
      <xdr:spPr>
        <a:xfrm>
          <a:off x="237490" y="13858875"/>
          <a:ext cx="19177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1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2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3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4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5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6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7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8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699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63</xdr:row>
      <xdr:rowOff>121285</xdr:rowOff>
    </xdr:to>
    <xdr:sp>
      <xdr:nvSpPr>
        <xdr:cNvPr id="1700" name="Text Box 1"/>
        <xdr:cNvSpPr txBox="1"/>
      </xdr:nvSpPr>
      <xdr:spPr>
        <a:xfrm>
          <a:off x="237490" y="13858875"/>
          <a:ext cx="12700" cy="12128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6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7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09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0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1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2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3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1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0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1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3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4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5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6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7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2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4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5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7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8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39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0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1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4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5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57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58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59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0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1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2" name="Text Box 4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3" name="Text Box 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4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5" name="Text Box 8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6" name="Text Box 11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7" name="Text Box 1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8" name="Text Box 23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69" name="Text Box 2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1770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6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7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79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0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1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2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3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8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0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1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3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4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5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6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7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79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4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5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7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8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09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0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1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1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2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2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3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5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6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7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8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39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6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7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49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50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51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52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53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185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5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5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5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5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6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7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8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89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0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6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7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19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0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1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2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3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2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0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1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3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4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5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6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7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3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4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5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7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8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49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50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51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5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5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6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7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8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9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9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9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9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199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9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9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9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9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199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0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1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3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4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5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6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7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0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4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5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7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8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19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0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1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2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03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3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3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3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4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5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6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7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8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09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0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1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2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3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3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3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3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3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3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3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3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3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3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0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1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3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4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5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6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7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4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4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5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7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8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59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0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1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6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17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7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7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7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8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19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0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21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1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4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5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7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8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29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0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1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3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4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2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3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5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6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7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8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59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6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7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69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70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71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72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73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7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75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76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77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78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79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0" name="Text Box 4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1" name="Text Box 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2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3" name="Text Box 8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4" name="Text Box 11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5" name="Text Box 1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6" name="Text Box 23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7" name="Text Box 25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67310</xdr:colOff>
      <xdr:row>64</xdr:row>
      <xdr:rowOff>64135</xdr:rowOff>
    </xdr:to>
    <xdr:sp>
      <xdr:nvSpPr>
        <xdr:cNvPr id="2288" name="Text Box 6"/>
        <xdr:cNvSpPr txBox="1"/>
      </xdr:nvSpPr>
      <xdr:spPr>
        <a:xfrm>
          <a:off x="237490" y="13858875"/>
          <a:ext cx="6731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8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4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5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7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8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299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0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1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8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09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1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2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3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4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5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1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2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3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5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6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7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8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29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6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7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39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0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1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2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3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4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5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7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4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0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1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3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4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5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6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7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8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59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0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1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3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4" name="Text Box 4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5" name="Text Box 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6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7" name="Text Box 8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8" name="Text Box 11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69" name="Text Box 1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70" name="Text Box 23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71" name="Text Box 25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84455</xdr:colOff>
      <xdr:row>64</xdr:row>
      <xdr:rowOff>64135</xdr:rowOff>
    </xdr:to>
    <xdr:sp>
      <xdr:nvSpPr>
        <xdr:cNvPr id="2372" name="Text Box 6"/>
        <xdr:cNvSpPr txBox="1"/>
      </xdr:nvSpPr>
      <xdr:spPr>
        <a:xfrm>
          <a:off x="237490" y="13858875"/>
          <a:ext cx="84455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7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8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39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0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1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2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2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4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5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7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8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39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0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1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4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5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2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3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5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6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7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8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69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47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7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8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49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0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1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1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1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1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2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2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3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5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6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7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8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39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6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7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49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50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51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52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53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55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5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5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5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5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5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6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7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8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59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2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3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5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6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7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8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09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6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7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19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0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1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2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3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2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3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4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5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5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5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8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59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1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2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3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4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5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6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7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69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2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3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5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6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7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8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79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0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1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2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3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5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6" name="Text Box 4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7" name="Text Box 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8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89" name="Text Box 8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90" name="Text Box 11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91" name="Text Box 1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92" name="Text Box 23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93" name="Text Box 25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204470</xdr:colOff>
      <xdr:row>64</xdr:row>
      <xdr:rowOff>64135</xdr:rowOff>
    </xdr:to>
    <xdr:sp>
      <xdr:nvSpPr>
        <xdr:cNvPr id="2694" name="Text Box 6"/>
        <xdr:cNvSpPr txBox="1"/>
      </xdr:nvSpPr>
      <xdr:spPr>
        <a:xfrm>
          <a:off x="237490" y="13858875"/>
          <a:ext cx="20447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9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9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9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9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69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0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1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3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4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5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6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7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8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09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1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4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5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7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8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19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0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1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2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3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4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5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7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8" name="Text Box 4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29" name="Text Box 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0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1" name="Text Box 8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2" name="Text Box 11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3" name="Text Box 1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4" name="Text Box 23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5" name="Text Box 25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12700</xdr:colOff>
      <xdr:row>64</xdr:row>
      <xdr:rowOff>64135</xdr:rowOff>
    </xdr:to>
    <xdr:sp>
      <xdr:nvSpPr>
        <xdr:cNvPr id="2736" name="Text Box 6"/>
        <xdr:cNvSpPr txBox="1"/>
      </xdr:nvSpPr>
      <xdr:spPr>
        <a:xfrm>
          <a:off x="237490" y="13858875"/>
          <a:ext cx="12700" cy="24511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78"/>
  <sheetViews>
    <sheetView tabSelected="1" zoomScale="115" zoomScaleNormal="115" workbookViewId="0">
      <selection activeCell="B2" sqref="B2:B3"/>
    </sheetView>
  </sheetViews>
  <sheetFormatPr defaultColWidth="9" defaultRowHeight="14.25"/>
  <cols>
    <col min="1" max="1" width="3.11666666666667" style="1" customWidth="1"/>
    <col min="2" max="2" width="28.2833333333333" style="4" customWidth="1"/>
    <col min="3" max="3" width="9.05833333333333" style="1" customWidth="1"/>
    <col min="4" max="4" width="46.1" style="1" customWidth="1"/>
    <col min="5" max="5" width="5.75" style="5" customWidth="1"/>
    <col min="6" max="6" width="8.375" style="5" customWidth="1"/>
    <col min="7" max="7" width="21.75" style="5" customWidth="1"/>
    <col min="8" max="8" width="4.75" style="5" customWidth="1"/>
    <col min="9" max="9" width="11.5" style="5" customWidth="1"/>
    <col min="10" max="10" width="13.75" style="1" customWidth="1"/>
    <col min="11" max="11" width="26" style="1" hidden="1" customWidth="1"/>
    <col min="12" max="12" width="21.625" style="1" hidden="1" customWidth="1"/>
    <col min="13" max="13" width="13.75" style="1" hidden="1" customWidth="1"/>
    <col min="14" max="14" width="11.5" style="1" hidden="1" customWidth="1"/>
    <col min="15" max="15" width="5.375" style="1" hidden="1" customWidth="1"/>
    <col min="16" max="16" width="22.625" style="1" hidden="1" customWidth="1"/>
    <col min="17" max="17" width="9" style="1" hidden="1" customWidth="1"/>
    <col min="18" max="25" width="9" style="1"/>
    <col min="26" max="26" width="10.375" style="1" customWidth="1"/>
    <col min="27" max="27" width="18.25" style="1" customWidth="1"/>
    <col min="28" max="28" width="7.375" style="1" customWidth="1"/>
    <col min="29" max="16384" width="9" style="1"/>
  </cols>
  <sheetData>
    <row r="1" s="1" customFormat="1" ht="25.5" spans="1:16">
      <c r="A1" s="6" t="s">
        <v>0</v>
      </c>
      <c r="B1" s="7"/>
      <c r="C1" s="6"/>
      <c r="D1" s="6"/>
      <c r="E1" s="8"/>
      <c r="F1" s="8"/>
      <c r="G1" s="8"/>
      <c r="H1" s="8"/>
      <c r="I1" s="8"/>
      <c r="J1" s="6"/>
      <c r="K1" s="6"/>
      <c r="L1" s="6"/>
      <c r="M1" s="6"/>
      <c r="N1" s="6"/>
      <c r="O1" s="6"/>
      <c r="P1" s="6"/>
    </row>
    <row r="2" s="2" customFormat="1" spans="1:16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11"/>
      <c r="G2" s="10" t="s">
        <v>6</v>
      </c>
      <c r="H2" s="10" t="s">
        <v>7</v>
      </c>
      <c r="I2" s="10" t="s">
        <v>8</v>
      </c>
      <c r="J2" s="10" t="s">
        <v>9</v>
      </c>
      <c r="K2" s="57" t="s">
        <v>10</v>
      </c>
      <c r="L2" s="58" t="s">
        <v>11</v>
      </c>
      <c r="M2" s="59" t="s">
        <v>12</v>
      </c>
      <c r="N2" s="59"/>
      <c r="O2" s="59"/>
      <c r="P2" s="59"/>
    </row>
    <row r="3" s="2" customFormat="1" spans="1:16">
      <c r="A3" s="12"/>
      <c r="B3" s="12"/>
      <c r="C3" s="12"/>
      <c r="D3" s="12"/>
      <c r="E3" s="13" t="s">
        <v>13</v>
      </c>
      <c r="F3" s="13" t="s">
        <v>14</v>
      </c>
      <c r="G3" s="14"/>
      <c r="H3" s="14"/>
      <c r="I3" s="14"/>
      <c r="J3" s="14"/>
      <c r="K3" s="60"/>
      <c r="L3" s="61"/>
      <c r="M3" s="62" t="s">
        <v>15</v>
      </c>
      <c r="N3" s="62" t="s">
        <v>16</v>
      </c>
      <c r="O3" s="62" t="s">
        <v>17</v>
      </c>
      <c r="P3" s="62" t="s">
        <v>18</v>
      </c>
    </row>
    <row r="4" s="2" customFormat="1" ht="24" spans="1:18">
      <c r="A4" s="15">
        <v>1</v>
      </c>
      <c r="B4" s="16" t="s">
        <v>19</v>
      </c>
      <c r="C4" s="15">
        <v>500</v>
      </c>
      <c r="D4" s="17" t="s">
        <v>19</v>
      </c>
      <c r="E4" s="18"/>
      <c r="F4" s="15">
        <v>100</v>
      </c>
      <c r="G4" s="16" t="s">
        <v>20</v>
      </c>
      <c r="H4" s="15" t="s">
        <v>21</v>
      </c>
      <c r="I4" s="63">
        <v>2018.864</v>
      </c>
      <c r="J4" s="63">
        <v>2018.864</v>
      </c>
      <c r="K4" s="64" t="s">
        <v>22</v>
      </c>
      <c r="L4" s="64" t="s">
        <v>23</v>
      </c>
      <c r="M4" s="64" t="s">
        <v>24</v>
      </c>
      <c r="N4" s="65">
        <v>1000098963</v>
      </c>
      <c r="O4" s="65">
        <v>60</v>
      </c>
      <c r="P4" s="66" t="s">
        <v>25</v>
      </c>
      <c r="R4" s="2" t="s">
        <v>26</v>
      </c>
    </row>
    <row r="5" s="2" customFormat="1" ht="24" spans="1:16">
      <c r="A5" s="15">
        <v>2</v>
      </c>
      <c r="B5" s="16" t="s">
        <v>27</v>
      </c>
      <c r="C5" s="15">
        <v>220</v>
      </c>
      <c r="D5" s="19" t="s">
        <v>28</v>
      </c>
      <c r="E5" s="16"/>
      <c r="F5" s="18"/>
      <c r="G5" s="16" t="s">
        <v>29</v>
      </c>
      <c r="H5" s="15" t="s">
        <v>21</v>
      </c>
      <c r="I5" s="63">
        <v>9330.4172</v>
      </c>
      <c r="J5" s="63">
        <f>I5</f>
        <v>9330.4172</v>
      </c>
      <c r="K5" s="64" t="s">
        <v>30</v>
      </c>
      <c r="L5" s="64" t="s">
        <v>31</v>
      </c>
      <c r="M5" s="64" t="s">
        <v>32</v>
      </c>
      <c r="N5" s="65">
        <v>1000090291</v>
      </c>
      <c r="O5" s="65">
        <v>2120</v>
      </c>
      <c r="P5" s="66" t="s">
        <v>33</v>
      </c>
    </row>
    <row r="6" s="2" customFormat="1" ht="24" spans="1:16">
      <c r="A6" s="15">
        <v>3</v>
      </c>
      <c r="B6" s="16" t="s">
        <v>34</v>
      </c>
      <c r="C6" s="15">
        <v>220</v>
      </c>
      <c r="D6" s="19" t="s">
        <v>35</v>
      </c>
      <c r="E6" s="16"/>
      <c r="F6" s="18">
        <v>36</v>
      </c>
      <c r="G6" s="16" t="s">
        <v>36</v>
      </c>
      <c r="H6" s="15" t="s">
        <v>21</v>
      </c>
      <c r="I6" s="63">
        <v>1582.7936</v>
      </c>
      <c r="J6" s="18">
        <f>I6</f>
        <v>1582.7936</v>
      </c>
      <c r="K6" s="64"/>
      <c r="L6" s="65"/>
      <c r="M6" s="65"/>
      <c r="N6" s="65"/>
      <c r="O6" s="65">
        <v>2100</v>
      </c>
      <c r="P6" s="66" t="s">
        <v>37</v>
      </c>
    </row>
    <row r="7" s="2" customFormat="1" ht="24" spans="1:16">
      <c r="A7" s="20">
        <v>4</v>
      </c>
      <c r="B7" s="21" t="s">
        <v>38</v>
      </c>
      <c r="C7" s="20">
        <v>220</v>
      </c>
      <c r="D7" s="22" t="s">
        <v>39</v>
      </c>
      <c r="E7" s="23">
        <v>0.374</v>
      </c>
      <c r="F7" s="18"/>
      <c r="G7" s="24" t="s">
        <v>40</v>
      </c>
      <c r="H7" s="20" t="s">
        <v>21</v>
      </c>
      <c r="I7" s="63">
        <v>2865.7311</v>
      </c>
      <c r="J7" s="67">
        <v>2983.8951</v>
      </c>
      <c r="K7" s="64"/>
      <c r="L7" s="65"/>
      <c r="M7" s="65"/>
      <c r="N7" s="65"/>
      <c r="O7" s="65"/>
      <c r="P7" s="68"/>
    </row>
    <row r="8" s="2" customFormat="1" ht="24" spans="1:16">
      <c r="A8" s="25"/>
      <c r="B8" s="26"/>
      <c r="C8" s="25"/>
      <c r="D8" s="22" t="s">
        <v>41</v>
      </c>
      <c r="E8" s="23">
        <v>0.387</v>
      </c>
      <c r="F8" s="18"/>
      <c r="G8" s="27"/>
      <c r="H8" s="25"/>
      <c r="I8" s="63">
        <v>118.164</v>
      </c>
      <c r="J8" s="33"/>
      <c r="K8" s="64"/>
      <c r="L8" s="65"/>
      <c r="M8" s="65"/>
      <c r="N8" s="65"/>
      <c r="O8" s="65"/>
      <c r="P8" s="68"/>
    </row>
    <row r="9" s="2" customFormat="1" spans="1:16">
      <c r="A9" s="28">
        <v>5</v>
      </c>
      <c r="B9" s="29" t="s">
        <v>42</v>
      </c>
      <c r="C9" s="30">
        <v>220</v>
      </c>
      <c r="D9" s="22" t="s">
        <v>43</v>
      </c>
      <c r="E9" s="23">
        <v>5.72</v>
      </c>
      <c r="F9" s="31"/>
      <c r="G9" s="32" t="s">
        <v>44</v>
      </c>
      <c r="H9" s="30" t="s">
        <v>21</v>
      </c>
      <c r="I9" s="63">
        <v>405.6661</v>
      </c>
      <c r="J9" s="30">
        <f>SUM(I9:I11)</f>
        <v>773.3984</v>
      </c>
      <c r="K9" s="64"/>
      <c r="L9" s="65"/>
      <c r="M9" s="65"/>
      <c r="N9" s="65"/>
      <c r="O9" s="65"/>
      <c r="P9" s="68"/>
    </row>
    <row r="10" s="2" customFormat="1" ht="20" customHeight="1" spans="1:16">
      <c r="A10" s="28"/>
      <c r="B10" s="29"/>
      <c r="C10" s="30"/>
      <c r="D10" s="22" t="s">
        <v>45</v>
      </c>
      <c r="E10" s="23">
        <v>1.671</v>
      </c>
      <c r="F10" s="31"/>
      <c r="G10" s="32"/>
      <c r="H10" s="30"/>
      <c r="I10" s="63">
        <v>296.5114</v>
      </c>
      <c r="J10" s="30"/>
      <c r="K10" s="64"/>
      <c r="L10" s="65"/>
      <c r="M10" s="65"/>
      <c r="N10" s="65"/>
      <c r="O10" s="65"/>
      <c r="P10" s="68"/>
    </row>
    <row r="11" s="3" customFormat="1" ht="25" customHeight="1" spans="1:16">
      <c r="A11" s="25"/>
      <c r="B11" s="26"/>
      <c r="C11" s="33"/>
      <c r="D11" s="22" t="s">
        <v>46</v>
      </c>
      <c r="E11" s="34"/>
      <c r="F11" s="35"/>
      <c r="G11" s="27"/>
      <c r="H11" s="33"/>
      <c r="I11" s="18">
        <v>71.2209</v>
      </c>
      <c r="J11" s="33"/>
      <c r="K11" s="65" t="s">
        <v>47</v>
      </c>
      <c r="L11" s="64" t="s">
        <v>23</v>
      </c>
      <c r="M11" s="64" t="s">
        <v>48</v>
      </c>
      <c r="N11" s="65">
        <v>1000098926</v>
      </c>
      <c r="O11" s="65">
        <v>60</v>
      </c>
      <c r="P11" s="64" t="s">
        <v>49</v>
      </c>
    </row>
    <row r="12" s="2" customFormat="1" ht="24" spans="1:16">
      <c r="A12" s="36">
        <v>6</v>
      </c>
      <c r="B12" s="36" t="s">
        <v>50</v>
      </c>
      <c r="C12" s="36">
        <v>220</v>
      </c>
      <c r="D12" s="37" t="s">
        <v>51</v>
      </c>
      <c r="E12" s="36"/>
      <c r="F12" s="36"/>
      <c r="G12" s="36" t="s">
        <v>52</v>
      </c>
      <c r="H12" s="36" t="s">
        <v>21</v>
      </c>
      <c r="I12" s="69">
        <v>7054.356</v>
      </c>
      <c r="J12" s="18">
        <f>I12</f>
        <v>7054.356</v>
      </c>
      <c r="K12" s="70"/>
      <c r="L12" s="70"/>
      <c r="M12" s="65"/>
      <c r="N12" s="65"/>
      <c r="O12" s="65"/>
      <c r="P12" s="65"/>
    </row>
    <row r="13" s="2" customFormat="1" ht="24" spans="1:16">
      <c r="A13" s="36">
        <v>7</v>
      </c>
      <c r="B13" s="36" t="s">
        <v>53</v>
      </c>
      <c r="C13" s="36">
        <v>220</v>
      </c>
      <c r="D13" s="38" t="s">
        <v>54</v>
      </c>
      <c r="E13" s="36"/>
      <c r="F13" s="36">
        <v>36</v>
      </c>
      <c r="G13" s="36" t="s">
        <v>55</v>
      </c>
      <c r="H13" s="36" t="s">
        <v>21</v>
      </c>
      <c r="I13" s="71">
        <v>1381.6737</v>
      </c>
      <c r="J13" s="36">
        <f>I13</f>
        <v>1381.6737</v>
      </c>
      <c r="K13" s="70"/>
      <c r="L13" s="70"/>
      <c r="M13" s="65"/>
      <c r="N13" s="65"/>
      <c r="O13" s="65"/>
      <c r="P13" s="65"/>
    </row>
    <row r="14" spans="1:16">
      <c r="A14" s="36">
        <v>8</v>
      </c>
      <c r="B14" s="36" t="s">
        <v>56</v>
      </c>
      <c r="C14" s="24">
        <v>220</v>
      </c>
      <c r="D14" s="37" t="s">
        <v>57</v>
      </c>
      <c r="E14" s="39"/>
      <c r="F14" s="39"/>
      <c r="G14" s="24" t="s">
        <v>58</v>
      </c>
      <c r="H14" s="24" t="s">
        <v>21</v>
      </c>
      <c r="I14" s="72">
        <v>189.4277</v>
      </c>
      <c r="J14" s="24">
        <f>I14+I15+I16+I17+I18+I19+I20+I21+I22</f>
        <v>5553.3629</v>
      </c>
      <c r="K14" s="68" t="s">
        <v>59</v>
      </c>
      <c r="L14" s="68"/>
      <c r="M14" s="68" t="s">
        <v>60</v>
      </c>
      <c r="N14" s="68">
        <v>1000098781</v>
      </c>
      <c r="O14" s="68">
        <v>20</v>
      </c>
      <c r="P14" s="68" t="s">
        <v>61</v>
      </c>
    </row>
    <row r="15" spans="1:16">
      <c r="A15" s="36"/>
      <c r="B15" s="36"/>
      <c r="C15" s="32"/>
      <c r="D15" s="37" t="s">
        <v>62</v>
      </c>
      <c r="E15" s="39"/>
      <c r="F15" s="39"/>
      <c r="G15" s="32"/>
      <c r="H15" s="32"/>
      <c r="I15" s="72">
        <v>28.9267</v>
      </c>
      <c r="J15" s="32"/>
      <c r="K15" s="68"/>
      <c r="L15" s="68"/>
      <c r="M15" s="68"/>
      <c r="N15" s="68"/>
      <c r="O15" s="68"/>
      <c r="P15" s="68"/>
    </row>
    <row r="16" spans="1:16">
      <c r="A16" s="36"/>
      <c r="B16" s="36"/>
      <c r="C16" s="32"/>
      <c r="D16" s="37" t="s">
        <v>63</v>
      </c>
      <c r="E16" s="40">
        <v>17.394</v>
      </c>
      <c r="F16" s="39"/>
      <c r="G16" s="32"/>
      <c r="H16" s="32"/>
      <c r="I16" s="40">
        <v>2883.4883</v>
      </c>
      <c r="J16" s="32"/>
      <c r="K16" s="68"/>
      <c r="L16" s="68"/>
      <c r="M16" s="68"/>
      <c r="N16" s="68"/>
      <c r="O16" s="68"/>
      <c r="P16" s="68"/>
    </row>
    <row r="17" spans="1:16">
      <c r="A17" s="36"/>
      <c r="B17" s="36"/>
      <c r="C17" s="32"/>
      <c r="D17" s="37" t="s">
        <v>64</v>
      </c>
      <c r="E17" s="39">
        <v>0.55</v>
      </c>
      <c r="F17" s="39"/>
      <c r="G17" s="32"/>
      <c r="H17" s="32"/>
      <c r="I17" s="40">
        <v>256.3117</v>
      </c>
      <c r="J17" s="32"/>
      <c r="K17" s="68"/>
      <c r="L17" s="68"/>
      <c r="M17" s="68"/>
      <c r="N17" s="68"/>
      <c r="O17" s="68"/>
      <c r="P17" s="68"/>
    </row>
    <row r="18" spans="1:16">
      <c r="A18" s="36"/>
      <c r="B18" s="36"/>
      <c r="C18" s="32"/>
      <c r="D18" s="37" t="s">
        <v>65</v>
      </c>
      <c r="E18" s="39">
        <v>0.215</v>
      </c>
      <c r="F18" s="39"/>
      <c r="G18" s="32"/>
      <c r="H18" s="32"/>
      <c r="I18" s="40">
        <v>127.6722</v>
      </c>
      <c r="J18" s="32"/>
      <c r="K18" s="68"/>
      <c r="L18" s="68"/>
      <c r="M18" s="68"/>
      <c r="N18" s="68"/>
      <c r="O18" s="68"/>
      <c r="P18" s="68"/>
    </row>
    <row r="19" spans="1:16">
      <c r="A19" s="36"/>
      <c r="B19" s="36"/>
      <c r="C19" s="32"/>
      <c r="D19" s="37" t="s">
        <v>66</v>
      </c>
      <c r="E19" s="39">
        <v>0.55</v>
      </c>
      <c r="F19" s="39"/>
      <c r="G19" s="32"/>
      <c r="H19" s="32"/>
      <c r="I19" s="40">
        <v>256.1414</v>
      </c>
      <c r="J19" s="32"/>
      <c r="K19" s="68"/>
      <c r="L19" s="68"/>
      <c r="M19" s="68"/>
      <c r="N19" s="68"/>
      <c r="O19" s="68"/>
      <c r="P19" s="68"/>
    </row>
    <row r="20" spans="1:16">
      <c r="A20" s="36"/>
      <c r="B20" s="36"/>
      <c r="C20" s="32"/>
      <c r="D20" s="37" t="s">
        <v>67</v>
      </c>
      <c r="E20" s="39">
        <v>0.185</v>
      </c>
      <c r="F20" s="39"/>
      <c r="G20" s="32"/>
      <c r="H20" s="32"/>
      <c r="I20" s="40">
        <v>193.9713</v>
      </c>
      <c r="J20" s="32"/>
      <c r="K20" s="68"/>
      <c r="L20" s="68"/>
      <c r="M20" s="68"/>
      <c r="N20" s="68"/>
      <c r="O20" s="68"/>
      <c r="P20" s="68"/>
    </row>
    <row r="21" ht="24" spans="1:16">
      <c r="A21" s="36"/>
      <c r="B21" s="36"/>
      <c r="C21" s="32"/>
      <c r="D21" s="37" t="s">
        <v>68</v>
      </c>
      <c r="E21" s="39">
        <v>0.8</v>
      </c>
      <c r="F21" s="39"/>
      <c r="G21" s="32"/>
      <c r="H21" s="32"/>
      <c r="I21" s="40">
        <v>550.409</v>
      </c>
      <c r="J21" s="32"/>
      <c r="K21" s="68"/>
      <c r="L21" s="68"/>
      <c r="M21" s="68"/>
      <c r="N21" s="68"/>
      <c r="O21" s="68"/>
      <c r="P21" s="68"/>
    </row>
    <row r="22" ht="24" spans="1:16">
      <c r="A22" s="36"/>
      <c r="B22" s="36"/>
      <c r="C22" s="27"/>
      <c r="D22" s="37" t="s">
        <v>69</v>
      </c>
      <c r="E22" s="39">
        <v>3.109</v>
      </c>
      <c r="F22" s="39"/>
      <c r="G22" s="27"/>
      <c r="H22" s="27"/>
      <c r="I22" s="40">
        <v>1067.0146</v>
      </c>
      <c r="J22" s="27"/>
      <c r="K22" s="68"/>
      <c r="L22" s="68"/>
      <c r="M22" s="68"/>
      <c r="N22" s="68"/>
      <c r="O22" s="68"/>
      <c r="P22" s="68"/>
    </row>
    <row r="23" ht="17" customHeight="1" spans="1:16">
      <c r="A23" s="36">
        <v>9</v>
      </c>
      <c r="B23" s="36" t="s">
        <v>70</v>
      </c>
      <c r="C23" s="24">
        <v>220</v>
      </c>
      <c r="D23" s="37" t="s">
        <v>71</v>
      </c>
      <c r="E23" s="39"/>
      <c r="F23" s="39"/>
      <c r="G23" s="24" t="s">
        <v>72</v>
      </c>
      <c r="H23" s="24" t="s">
        <v>21</v>
      </c>
      <c r="I23" s="73">
        <v>26.4133</v>
      </c>
      <c r="J23" s="24">
        <f>I23+I24+I25+I26+I27+I28</f>
        <v>1950.5559</v>
      </c>
      <c r="K23" s="68" t="s">
        <v>73</v>
      </c>
      <c r="L23" s="68"/>
      <c r="M23" s="68" t="s">
        <v>74</v>
      </c>
      <c r="N23" s="68">
        <v>1000097531</v>
      </c>
      <c r="O23" s="68">
        <v>290</v>
      </c>
      <c r="P23" s="68" t="s">
        <v>75</v>
      </c>
    </row>
    <row r="24" ht="17" customHeight="1" spans="1:16">
      <c r="A24" s="36"/>
      <c r="B24" s="36"/>
      <c r="C24" s="32"/>
      <c r="D24" s="37" t="s">
        <v>76</v>
      </c>
      <c r="E24" s="39"/>
      <c r="F24" s="39"/>
      <c r="G24" s="32"/>
      <c r="H24" s="32"/>
      <c r="I24" s="73">
        <v>51.354</v>
      </c>
      <c r="J24" s="32"/>
      <c r="K24" s="68"/>
      <c r="L24" s="68"/>
      <c r="M24" s="68"/>
      <c r="N24" s="68"/>
      <c r="O24" s="68"/>
      <c r="P24" s="68"/>
    </row>
    <row r="25" ht="17" customHeight="1" spans="1:16">
      <c r="A25" s="36"/>
      <c r="B25" s="36"/>
      <c r="C25" s="32"/>
      <c r="D25" s="37" t="s">
        <v>77</v>
      </c>
      <c r="E25" s="39"/>
      <c r="F25" s="39"/>
      <c r="G25" s="32"/>
      <c r="H25" s="32"/>
      <c r="I25" s="73">
        <v>33.1113</v>
      </c>
      <c r="J25" s="32"/>
      <c r="K25" s="68"/>
      <c r="L25" s="68"/>
      <c r="M25" s="68"/>
      <c r="N25" s="68"/>
      <c r="O25" s="68"/>
      <c r="P25" s="68"/>
    </row>
    <row r="26" ht="17" customHeight="1" spans="1:16">
      <c r="A26" s="36"/>
      <c r="B26" s="36"/>
      <c r="C26" s="32"/>
      <c r="D26" s="37" t="s">
        <v>78</v>
      </c>
      <c r="E26" s="39">
        <v>0.262</v>
      </c>
      <c r="F26" s="39"/>
      <c r="G26" s="32"/>
      <c r="H26" s="32"/>
      <c r="I26" s="40">
        <v>417.9021</v>
      </c>
      <c r="J26" s="32"/>
      <c r="K26" s="68"/>
      <c r="L26" s="68"/>
      <c r="M26" s="68"/>
      <c r="N26" s="68"/>
      <c r="O26" s="68"/>
      <c r="P26" s="68"/>
    </row>
    <row r="27" ht="17" customHeight="1" spans="1:16">
      <c r="A27" s="36"/>
      <c r="B27" s="36"/>
      <c r="C27" s="32"/>
      <c r="D27" s="37" t="s">
        <v>79</v>
      </c>
      <c r="E27" s="39">
        <v>8.3</v>
      </c>
      <c r="F27" s="39"/>
      <c r="G27" s="32"/>
      <c r="H27" s="32"/>
      <c r="I27" s="40">
        <v>716.2641</v>
      </c>
      <c r="J27" s="32"/>
      <c r="K27" s="68"/>
      <c r="L27" s="68"/>
      <c r="M27" s="68"/>
      <c r="N27" s="68"/>
      <c r="O27" s="68"/>
      <c r="P27" s="68"/>
    </row>
    <row r="28" ht="17" customHeight="1" spans="1:16">
      <c r="A28" s="36"/>
      <c r="B28" s="36"/>
      <c r="C28" s="27"/>
      <c r="D28" s="37" t="s">
        <v>80</v>
      </c>
      <c r="E28" s="39">
        <v>8.3</v>
      </c>
      <c r="F28" s="39"/>
      <c r="G28" s="27"/>
      <c r="H28" s="27"/>
      <c r="I28" s="40">
        <v>705.5111</v>
      </c>
      <c r="J28" s="27"/>
      <c r="K28" s="68"/>
      <c r="L28" s="68"/>
      <c r="M28" s="68"/>
      <c r="N28" s="68"/>
      <c r="O28" s="68"/>
      <c r="P28" s="68"/>
    </row>
    <row r="29" s="2" customFormat="1" ht="16" customHeight="1" spans="1:17">
      <c r="A29" s="41">
        <v>10</v>
      </c>
      <c r="B29" s="41" t="s">
        <v>81</v>
      </c>
      <c r="C29" s="41">
        <v>220</v>
      </c>
      <c r="D29" s="37" t="s">
        <v>82</v>
      </c>
      <c r="E29" s="36"/>
      <c r="F29" s="36"/>
      <c r="G29" s="24" t="s">
        <v>83</v>
      </c>
      <c r="H29" s="41" t="s">
        <v>21</v>
      </c>
      <c r="I29" s="36">
        <f>638006/10000</f>
        <v>63.8006</v>
      </c>
      <c r="J29" s="71">
        <v>1582.5439</v>
      </c>
      <c r="K29" s="68" t="s">
        <v>84</v>
      </c>
      <c r="L29" s="68" t="s">
        <v>85</v>
      </c>
      <c r="M29" s="74" t="s">
        <v>86</v>
      </c>
      <c r="N29" s="74">
        <v>1000097994</v>
      </c>
      <c r="O29" s="74">
        <v>130</v>
      </c>
      <c r="P29" s="74" t="s">
        <v>87</v>
      </c>
      <c r="Q29" s="87"/>
    </row>
    <row r="30" s="2" customFormat="1" ht="16" customHeight="1" spans="1:17">
      <c r="A30" s="41"/>
      <c r="B30" s="41"/>
      <c r="C30" s="41"/>
      <c r="D30" s="37" t="s">
        <v>88</v>
      </c>
      <c r="E30" s="36"/>
      <c r="F30" s="36"/>
      <c r="G30" s="32"/>
      <c r="H30" s="41"/>
      <c r="I30" s="36">
        <f>2354313/10000</f>
        <v>235.4313</v>
      </c>
      <c r="J30" s="36"/>
      <c r="K30" s="68"/>
      <c r="L30" s="68"/>
      <c r="M30" s="74"/>
      <c r="N30" s="74"/>
      <c r="O30" s="74"/>
      <c r="P30" s="74"/>
      <c r="Q30" s="87"/>
    </row>
    <row r="31" s="2" customFormat="1" ht="16" customHeight="1" spans="1:17">
      <c r="A31" s="41"/>
      <c r="B31" s="41"/>
      <c r="C31" s="41"/>
      <c r="D31" s="37" t="s">
        <v>89</v>
      </c>
      <c r="E31" s="36">
        <v>4.912</v>
      </c>
      <c r="F31" s="36"/>
      <c r="G31" s="32"/>
      <c r="H31" s="41"/>
      <c r="I31" s="71">
        <v>417.3851</v>
      </c>
      <c r="J31" s="36"/>
      <c r="K31" s="68"/>
      <c r="L31" s="68"/>
      <c r="M31" s="74"/>
      <c r="N31" s="74"/>
      <c r="O31" s="74"/>
      <c r="P31" s="74"/>
      <c r="Q31" s="87"/>
    </row>
    <row r="32" s="2" customFormat="1" ht="16" customHeight="1" spans="1:17">
      <c r="A32" s="41"/>
      <c r="B32" s="41"/>
      <c r="C32" s="41"/>
      <c r="D32" s="37" t="s">
        <v>90</v>
      </c>
      <c r="E32" s="36">
        <v>0.24</v>
      </c>
      <c r="F32" s="36"/>
      <c r="G32" s="32"/>
      <c r="H32" s="41"/>
      <c r="I32" s="71">
        <v>142.4191</v>
      </c>
      <c r="J32" s="36"/>
      <c r="K32" s="68"/>
      <c r="L32" s="68"/>
      <c r="M32" s="74"/>
      <c r="N32" s="74"/>
      <c r="O32" s="74"/>
      <c r="P32" s="74"/>
      <c r="Q32" s="87"/>
    </row>
    <row r="33" s="2" customFormat="1" ht="16" customHeight="1" spans="1:17">
      <c r="A33" s="41"/>
      <c r="B33" s="41"/>
      <c r="C33" s="41"/>
      <c r="D33" s="37" t="s">
        <v>91</v>
      </c>
      <c r="E33" s="36">
        <v>3.813</v>
      </c>
      <c r="F33" s="36"/>
      <c r="G33" s="32"/>
      <c r="H33" s="41"/>
      <c r="I33" s="71">
        <v>552.7566</v>
      </c>
      <c r="J33" s="36"/>
      <c r="K33" s="68"/>
      <c r="L33" s="68"/>
      <c r="M33" s="74"/>
      <c r="N33" s="74"/>
      <c r="O33" s="74"/>
      <c r="P33" s="74"/>
      <c r="Q33" s="87"/>
    </row>
    <row r="34" s="2" customFormat="1" ht="16" customHeight="1" spans="1:17">
      <c r="A34" s="41"/>
      <c r="B34" s="41"/>
      <c r="C34" s="41"/>
      <c r="D34" s="37" t="s">
        <v>92</v>
      </c>
      <c r="E34" s="36">
        <v>0.275</v>
      </c>
      <c r="F34" s="36"/>
      <c r="G34" s="27"/>
      <c r="H34" s="41"/>
      <c r="I34" s="71">
        <v>170.7512</v>
      </c>
      <c r="J34" s="36"/>
      <c r="K34" s="68"/>
      <c r="L34" s="68"/>
      <c r="M34" s="74"/>
      <c r="N34" s="74"/>
      <c r="O34" s="74"/>
      <c r="P34" s="74"/>
      <c r="Q34" s="87"/>
    </row>
    <row r="35" ht="28" customHeight="1" spans="1:16">
      <c r="A35" s="36">
        <v>11</v>
      </c>
      <c r="B35" s="36" t="s">
        <v>93</v>
      </c>
      <c r="C35" s="36">
        <v>220</v>
      </c>
      <c r="D35" s="37" t="s">
        <v>93</v>
      </c>
      <c r="E35" s="39"/>
      <c r="F35" s="39">
        <v>12</v>
      </c>
      <c r="G35" s="42" t="s">
        <v>94</v>
      </c>
      <c r="H35" s="36" t="s">
        <v>21</v>
      </c>
      <c r="I35" s="75">
        <v>1326.4318</v>
      </c>
      <c r="J35" s="76">
        <f>I35+I36</f>
        <v>2073.3395</v>
      </c>
      <c r="K35" s="68" t="s">
        <v>73</v>
      </c>
      <c r="L35" s="68"/>
      <c r="M35" s="68" t="s">
        <v>95</v>
      </c>
      <c r="N35" s="68">
        <v>1000097701</v>
      </c>
      <c r="O35" s="68">
        <v>110</v>
      </c>
      <c r="P35" s="77" t="s">
        <v>96</v>
      </c>
    </row>
    <row r="36" ht="28" customHeight="1" spans="1:16">
      <c r="A36" s="36">
        <v>12</v>
      </c>
      <c r="B36" s="36" t="s">
        <v>97</v>
      </c>
      <c r="C36" s="36">
        <v>220</v>
      </c>
      <c r="D36" s="43" t="s">
        <v>97</v>
      </c>
      <c r="E36" s="39"/>
      <c r="F36" s="39">
        <v>12</v>
      </c>
      <c r="G36" s="42" t="s">
        <v>98</v>
      </c>
      <c r="H36" s="36" t="s">
        <v>21</v>
      </c>
      <c r="I36" s="78">
        <v>746.9077</v>
      </c>
      <c r="J36" s="79"/>
      <c r="K36" s="68" t="s">
        <v>73</v>
      </c>
      <c r="L36" s="68"/>
      <c r="M36" s="77" t="s">
        <v>99</v>
      </c>
      <c r="N36" s="68">
        <v>1000097649</v>
      </c>
      <c r="O36" s="68">
        <v>320</v>
      </c>
      <c r="P36" s="77" t="s">
        <v>100</v>
      </c>
    </row>
    <row r="37" s="2" customFormat="1" ht="28" customHeight="1" spans="1:16">
      <c r="A37" s="36">
        <v>13</v>
      </c>
      <c r="B37" s="36" t="s">
        <v>101</v>
      </c>
      <c r="C37" s="36">
        <v>220</v>
      </c>
      <c r="D37" s="37" t="s">
        <v>101</v>
      </c>
      <c r="E37" s="36"/>
      <c r="F37" s="36"/>
      <c r="G37" s="42" t="s">
        <v>102</v>
      </c>
      <c r="H37" s="36" t="s">
        <v>21</v>
      </c>
      <c r="I37" s="71">
        <v>563.3622</v>
      </c>
      <c r="J37" s="36">
        <f>I37</f>
        <v>563.3622</v>
      </c>
      <c r="K37" s="70"/>
      <c r="L37" s="70"/>
      <c r="M37" s="65"/>
      <c r="N37" s="65"/>
      <c r="O37" s="65"/>
      <c r="P37" s="65"/>
    </row>
    <row r="38" spans="1:16">
      <c r="A38" s="44">
        <v>14</v>
      </c>
      <c r="B38" s="21" t="s">
        <v>103</v>
      </c>
      <c r="C38" s="24">
        <v>110</v>
      </c>
      <c r="D38" s="43" t="s">
        <v>104</v>
      </c>
      <c r="E38" s="39"/>
      <c r="F38" s="39">
        <v>10</v>
      </c>
      <c r="G38" s="45" t="s">
        <v>105</v>
      </c>
      <c r="H38" s="24" t="s">
        <v>21</v>
      </c>
      <c r="I38" s="80">
        <v>1912.3263</v>
      </c>
      <c r="J38" s="24">
        <f>SUM(I38:I43)</f>
        <v>4191.2362</v>
      </c>
      <c r="K38" s="64" t="s">
        <v>106</v>
      </c>
      <c r="L38" s="64"/>
      <c r="M38" s="64" t="s">
        <v>107</v>
      </c>
      <c r="N38" s="64">
        <v>1000098004</v>
      </c>
      <c r="O38" s="64">
        <v>60</v>
      </c>
      <c r="P38" s="64" t="s">
        <v>108</v>
      </c>
    </row>
    <row r="39" spans="1:16">
      <c r="A39" s="30"/>
      <c r="B39" s="29"/>
      <c r="C39" s="32"/>
      <c r="D39" s="43" t="s">
        <v>109</v>
      </c>
      <c r="E39" s="39"/>
      <c r="F39" s="39"/>
      <c r="G39" s="46"/>
      <c r="H39" s="32"/>
      <c r="I39" s="39">
        <v>35.3855</v>
      </c>
      <c r="J39" s="32"/>
      <c r="K39" s="64"/>
      <c r="L39" s="64"/>
      <c r="M39" s="64"/>
      <c r="N39" s="64"/>
      <c r="O39" s="64"/>
      <c r="P39" s="64"/>
    </row>
    <row r="40" spans="1:16">
      <c r="A40" s="30"/>
      <c r="B40" s="29"/>
      <c r="C40" s="32"/>
      <c r="D40" s="43" t="s">
        <v>110</v>
      </c>
      <c r="E40" s="15">
        <v>10.583</v>
      </c>
      <c r="F40" s="39"/>
      <c r="G40" s="46"/>
      <c r="H40" s="32"/>
      <c r="I40" s="39">
        <v>943.5683</v>
      </c>
      <c r="J40" s="32"/>
      <c r="K40" s="68" t="s">
        <v>106</v>
      </c>
      <c r="L40" s="68"/>
      <c r="M40" s="68" t="s">
        <v>107</v>
      </c>
      <c r="N40" s="68">
        <v>1000098004</v>
      </c>
      <c r="O40" s="68">
        <v>80</v>
      </c>
      <c r="P40" s="68" t="s">
        <v>111</v>
      </c>
    </row>
    <row r="41" spans="1:16">
      <c r="A41" s="30"/>
      <c r="B41" s="29"/>
      <c r="C41" s="32"/>
      <c r="D41" s="43" t="s">
        <v>112</v>
      </c>
      <c r="E41" s="15">
        <v>0.405</v>
      </c>
      <c r="F41" s="39"/>
      <c r="G41" s="46"/>
      <c r="H41" s="32"/>
      <c r="I41" s="39">
        <v>88.7609</v>
      </c>
      <c r="J41" s="32"/>
      <c r="K41" s="68"/>
      <c r="L41" s="68"/>
      <c r="M41" s="68"/>
      <c r="N41" s="68"/>
      <c r="O41" s="68"/>
      <c r="P41" s="68"/>
    </row>
    <row r="42" spans="1:16">
      <c r="A42" s="30"/>
      <c r="B42" s="29"/>
      <c r="C42" s="32"/>
      <c r="D42" s="43" t="s">
        <v>113</v>
      </c>
      <c r="E42" s="15">
        <v>10.494</v>
      </c>
      <c r="F42" s="39"/>
      <c r="G42" s="46"/>
      <c r="H42" s="32"/>
      <c r="I42" s="39">
        <v>778.1114</v>
      </c>
      <c r="J42" s="32"/>
      <c r="K42" s="68"/>
      <c r="L42" s="68"/>
      <c r="M42" s="68"/>
      <c r="N42" s="68"/>
      <c r="O42" s="68"/>
      <c r="P42" s="68"/>
    </row>
    <row r="43" spans="1:16">
      <c r="A43" s="33"/>
      <c r="B43" s="26"/>
      <c r="C43" s="27"/>
      <c r="D43" s="43" t="s">
        <v>114</v>
      </c>
      <c r="E43" s="15">
        <v>0.602</v>
      </c>
      <c r="F43" s="39"/>
      <c r="G43" s="46"/>
      <c r="H43" s="27"/>
      <c r="I43" s="39">
        <v>433.0838</v>
      </c>
      <c r="J43" s="27"/>
      <c r="K43" s="68"/>
      <c r="L43" s="68"/>
      <c r="M43" s="68"/>
      <c r="N43" s="68"/>
      <c r="O43" s="68"/>
      <c r="P43" s="68"/>
    </row>
    <row r="44" s="2" customFormat="1" spans="1:16">
      <c r="A44" s="15">
        <v>15</v>
      </c>
      <c r="B44" s="36" t="s">
        <v>115</v>
      </c>
      <c r="C44" s="15">
        <v>110</v>
      </c>
      <c r="D44" s="38" t="s">
        <v>116</v>
      </c>
      <c r="E44" s="15"/>
      <c r="F44" s="15">
        <v>5</v>
      </c>
      <c r="G44" s="46"/>
      <c r="H44" s="15" t="s">
        <v>117</v>
      </c>
      <c r="I44" s="15">
        <v>1619.5872</v>
      </c>
      <c r="J44" s="15">
        <f>I44+I45+I46+I47</f>
        <v>3624.2259</v>
      </c>
      <c r="K44" s="70" t="s">
        <v>118</v>
      </c>
      <c r="L44" s="70" t="s">
        <v>119</v>
      </c>
      <c r="M44" s="70" t="s">
        <v>120</v>
      </c>
      <c r="N44" s="65">
        <v>1000097568</v>
      </c>
      <c r="O44" s="65">
        <v>930</v>
      </c>
      <c r="P44" s="65" t="s">
        <v>121</v>
      </c>
    </row>
    <row r="45" s="2" customFormat="1" spans="1:16">
      <c r="A45" s="15"/>
      <c r="B45" s="36"/>
      <c r="C45" s="15"/>
      <c r="D45" s="38" t="s">
        <v>122</v>
      </c>
      <c r="E45" s="15"/>
      <c r="F45" s="15"/>
      <c r="G45" s="46"/>
      <c r="H45" s="15"/>
      <c r="I45" s="15">
        <v>49.6361</v>
      </c>
      <c r="J45" s="15"/>
      <c r="K45" s="70"/>
      <c r="L45" s="70"/>
      <c r="M45" s="70"/>
      <c r="N45" s="65"/>
      <c r="O45" s="65"/>
      <c r="P45" s="65"/>
    </row>
    <row r="46" s="2" customFormat="1" spans="1:16">
      <c r="A46" s="15"/>
      <c r="B46" s="36"/>
      <c r="C46" s="15"/>
      <c r="D46" s="38" t="s">
        <v>123</v>
      </c>
      <c r="E46" s="15">
        <v>18.133</v>
      </c>
      <c r="F46" s="15"/>
      <c r="G46" s="46"/>
      <c r="H46" s="15"/>
      <c r="I46" s="15">
        <v>955.1573</v>
      </c>
      <c r="J46" s="15"/>
      <c r="K46" s="70"/>
      <c r="L46" s="70"/>
      <c r="M46" s="70"/>
      <c r="N46" s="65"/>
      <c r="O46" s="65"/>
      <c r="P46" s="65"/>
    </row>
    <row r="47" s="2" customFormat="1" spans="1:16">
      <c r="A47" s="15"/>
      <c r="B47" s="36"/>
      <c r="C47" s="15"/>
      <c r="D47" s="38" t="s">
        <v>124</v>
      </c>
      <c r="E47" s="15">
        <v>10.222</v>
      </c>
      <c r="F47" s="15"/>
      <c r="G47" s="46"/>
      <c r="H47" s="15"/>
      <c r="I47" s="15">
        <v>999.8453</v>
      </c>
      <c r="J47" s="15"/>
      <c r="K47" s="70"/>
      <c r="L47" s="70"/>
      <c r="M47" s="70"/>
      <c r="N47" s="65"/>
      <c r="O47" s="65"/>
      <c r="P47" s="65"/>
    </row>
    <row r="48" s="2" customFormat="1" spans="1:17">
      <c r="A48" s="41">
        <v>16</v>
      </c>
      <c r="B48" s="41" t="s">
        <v>125</v>
      </c>
      <c r="C48" s="41">
        <v>110</v>
      </c>
      <c r="D48" s="37" t="s">
        <v>126</v>
      </c>
      <c r="E48" s="36"/>
      <c r="F48" s="36">
        <v>10</v>
      </c>
      <c r="G48" s="46"/>
      <c r="H48" s="41" t="s">
        <v>127</v>
      </c>
      <c r="I48" s="73">
        <v>1777.9219</v>
      </c>
      <c r="J48" s="36">
        <f>I48+I49+I50+I51+I52+I53+I54</f>
        <v>2932.1997</v>
      </c>
      <c r="K48" s="68" t="s">
        <v>128</v>
      </c>
      <c r="L48" s="68" t="s">
        <v>129</v>
      </c>
      <c r="M48" s="68" t="s">
        <v>130</v>
      </c>
      <c r="N48" s="68">
        <v>1000099117</v>
      </c>
      <c r="O48" s="68">
        <v>120</v>
      </c>
      <c r="P48" s="68" t="s">
        <v>131</v>
      </c>
      <c r="Q48" s="88"/>
    </row>
    <row r="49" s="2" customFormat="1" spans="1:17">
      <c r="A49" s="41"/>
      <c r="B49" s="41"/>
      <c r="C49" s="41"/>
      <c r="D49" s="37" t="s">
        <v>132</v>
      </c>
      <c r="E49" s="15"/>
      <c r="F49" s="15"/>
      <c r="G49" s="46"/>
      <c r="H49" s="41"/>
      <c r="I49" s="73">
        <v>9.6682</v>
      </c>
      <c r="J49" s="36"/>
      <c r="K49" s="68"/>
      <c r="L49" s="68"/>
      <c r="M49" s="68"/>
      <c r="N49" s="68"/>
      <c r="O49" s="68"/>
      <c r="P49" s="68"/>
      <c r="Q49" s="89"/>
    </row>
    <row r="50" s="2" customFormat="1" spans="1:17">
      <c r="A50" s="41"/>
      <c r="B50" s="41"/>
      <c r="C50" s="41"/>
      <c r="D50" s="37" t="s">
        <v>133</v>
      </c>
      <c r="E50" s="15"/>
      <c r="F50" s="15"/>
      <c r="G50" s="46"/>
      <c r="H50" s="41"/>
      <c r="I50" s="73">
        <v>10.3022</v>
      </c>
      <c r="J50" s="36"/>
      <c r="K50" s="68"/>
      <c r="L50" s="68"/>
      <c r="M50" s="68"/>
      <c r="N50" s="68"/>
      <c r="O50" s="68"/>
      <c r="P50" s="68"/>
      <c r="Q50" s="89"/>
    </row>
    <row r="51" s="2" customFormat="1" spans="1:17">
      <c r="A51" s="41"/>
      <c r="B51" s="41"/>
      <c r="C51" s="41"/>
      <c r="D51" s="37" t="s">
        <v>134</v>
      </c>
      <c r="E51" s="47">
        <v>11.66</v>
      </c>
      <c r="F51" s="15"/>
      <c r="G51" s="46"/>
      <c r="H51" s="41"/>
      <c r="I51" s="73">
        <v>675.6593</v>
      </c>
      <c r="J51" s="36"/>
      <c r="K51" s="68"/>
      <c r="L51" s="68"/>
      <c r="M51" s="68"/>
      <c r="N51" s="68"/>
      <c r="O51" s="68"/>
      <c r="P51" s="68"/>
      <c r="Q51" s="89"/>
    </row>
    <row r="52" s="2" customFormat="1" spans="1:17">
      <c r="A52" s="41"/>
      <c r="B52" s="41"/>
      <c r="C52" s="41"/>
      <c r="D52" s="37" t="s">
        <v>135</v>
      </c>
      <c r="E52" s="47">
        <v>0.189</v>
      </c>
      <c r="F52" s="15"/>
      <c r="G52" s="46"/>
      <c r="H52" s="41"/>
      <c r="I52" s="73">
        <v>140.9088</v>
      </c>
      <c r="J52" s="36"/>
      <c r="K52" s="68"/>
      <c r="L52" s="68"/>
      <c r="M52" s="68"/>
      <c r="N52" s="68"/>
      <c r="O52" s="68"/>
      <c r="P52" s="68"/>
      <c r="Q52" s="89"/>
    </row>
    <row r="53" s="2" customFormat="1" spans="1:17">
      <c r="A53" s="41"/>
      <c r="B53" s="41"/>
      <c r="C53" s="41"/>
      <c r="D53" s="37" t="s">
        <v>136</v>
      </c>
      <c r="E53" s="47">
        <v>1.234</v>
      </c>
      <c r="F53" s="15"/>
      <c r="G53" s="46"/>
      <c r="H53" s="41"/>
      <c r="I53" s="73">
        <v>211.2885</v>
      </c>
      <c r="J53" s="36"/>
      <c r="K53" s="68"/>
      <c r="L53" s="68"/>
      <c r="M53" s="68"/>
      <c r="N53" s="68"/>
      <c r="O53" s="68"/>
      <c r="P53" s="68"/>
      <c r="Q53" s="89"/>
    </row>
    <row r="54" s="2" customFormat="1" spans="1:17">
      <c r="A54" s="41"/>
      <c r="B54" s="41"/>
      <c r="C54" s="41"/>
      <c r="D54" s="37" t="s">
        <v>137</v>
      </c>
      <c r="E54" s="47">
        <v>0.2</v>
      </c>
      <c r="F54" s="15"/>
      <c r="G54" s="48"/>
      <c r="H54" s="41"/>
      <c r="I54" s="73">
        <v>106.4508</v>
      </c>
      <c r="J54" s="36"/>
      <c r="K54" s="68"/>
      <c r="L54" s="68"/>
      <c r="M54" s="68"/>
      <c r="N54" s="68"/>
      <c r="O54" s="68"/>
      <c r="P54" s="68"/>
      <c r="Q54" s="90"/>
    </row>
    <row r="55" s="2" customFormat="1" spans="1:16">
      <c r="A55" s="36">
        <v>17</v>
      </c>
      <c r="B55" s="36" t="s">
        <v>138</v>
      </c>
      <c r="C55" s="36">
        <v>110</v>
      </c>
      <c r="D55" s="22" t="s">
        <v>139</v>
      </c>
      <c r="E55" s="36"/>
      <c r="F55" s="36"/>
      <c r="G55" s="45" t="s">
        <v>140</v>
      </c>
      <c r="H55" s="24" t="s">
        <v>21</v>
      </c>
      <c r="I55" s="36">
        <v>110.8994</v>
      </c>
      <c r="J55" s="36">
        <f>I55+I56+I57+I58+I59+I60+I61</f>
        <v>1481.3919</v>
      </c>
      <c r="K55" s="70"/>
      <c r="L55" s="70"/>
      <c r="M55" s="65"/>
      <c r="N55" s="65"/>
      <c r="O55" s="65"/>
      <c r="P55" s="65"/>
    </row>
    <row r="56" s="2" customFormat="1" spans="1:16">
      <c r="A56" s="36"/>
      <c r="B56" s="36"/>
      <c r="C56" s="36"/>
      <c r="D56" s="22" t="s">
        <v>141</v>
      </c>
      <c r="E56" s="36"/>
      <c r="F56" s="36"/>
      <c r="G56" s="46"/>
      <c r="H56" s="32"/>
      <c r="I56" s="36">
        <v>25.7387</v>
      </c>
      <c r="J56" s="36"/>
      <c r="K56" s="70"/>
      <c r="L56" s="70"/>
      <c r="M56" s="65"/>
      <c r="N56" s="65"/>
      <c r="O56" s="65"/>
      <c r="P56" s="65"/>
    </row>
    <row r="57" s="2" customFormat="1" spans="1:16">
      <c r="A57" s="36"/>
      <c r="B57" s="36"/>
      <c r="C57" s="36"/>
      <c r="D57" s="22" t="s">
        <v>142</v>
      </c>
      <c r="E57" s="36"/>
      <c r="F57" s="36"/>
      <c r="G57" s="46"/>
      <c r="H57" s="32"/>
      <c r="I57" s="36">
        <v>17.7991</v>
      </c>
      <c r="J57" s="36"/>
      <c r="K57" s="70"/>
      <c r="L57" s="70"/>
      <c r="M57" s="65"/>
      <c r="N57" s="65"/>
      <c r="O57" s="65"/>
      <c r="P57" s="65"/>
    </row>
    <row r="58" s="2" customFormat="1" spans="1:16">
      <c r="A58" s="36"/>
      <c r="B58" s="36"/>
      <c r="C58" s="36"/>
      <c r="D58" s="22" t="s">
        <v>143</v>
      </c>
      <c r="E58" s="36">
        <v>4.951</v>
      </c>
      <c r="F58" s="36"/>
      <c r="G58" s="46"/>
      <c r="H58" s="32"/>
      <c r="I58" s="36">
        <v>596.0778</v>
      </c>
      <c r="J58" s="36"/>
      <c r="K58" s="70"/>
      <c r="L58" s="70"/>
      <c r="M58" s="65"/>
      <c r="N58" s="65"/>
      <c r="O58" s="65"/>
      <c r="P58" s="65"/>
    </row>
    <row r="59" s="2" customFormat="1" spans="1:16">
      <c r="A59" s="36"/>
      <c r="B59" s="36"/>
      <c r="C59" s="36"/>
      <c r="D59" s="22" t="s">
        <v>144</v>
      </c>
      <c r="E59" s="36">
        <v>0.388</v>
      </c>
      <c r="F59" s="36"/>
      <c r="G59" s="46"/>
      <c r="H59" s="32"/>
      <c r="I59" s="36">
        <v>253.8703</v>
      </c>
      <c r="J59" s="36"/>
      <c r="K59" s="70"/>
      <c r="L59" s="70"/>
      <c r="M59" s="65"/>
      <c r="N59" s="65"/>
      <c r="O59" s="65"/>
      <c r="P59" s="65"/>
    </row>
    <row r="60" s="2" customFormat="1" spans="1:16">
      <c r="A60" s="36"/>
      <c r="B60" s="36"/>
      <c r="C60" s="36"/>
      <c r="D60" s="22" t="s">
        <v>145</v>
      </c>
      <c r="E60" s="36">
        <v>5.077</v>
      </c>
      <c r="F60" s="36"/>
      <c r="G60" s="46"/>
      <c r="H60" s="32"/>
      <c r="I60" s="36">
        <v>442.0341</v>
      </c>
      <c r="J60" s="36"/>
      <c r="K60" s="70"/>
      <c r="L60" s="70"/>
      <c r="M60" s="65"/>
      <c r="N60" s="65"/>
      <c r="O60" s="65"/>
      <c r="P60" s="65"/>
    </row>
    <row r="61" s="2" customFormat="1" spans="1:16">
      <c r="A61" s="36"/>
      <c r="B61" s="36"/>
      <c r="C61" s="36"/>
      <c r="D61" s="22" t="s">
        <v>146</v>
      </c>
      <c r="E61" s="36">
        <v>0.115</v>
      </c>
      <c r="F61" s="36"/>
      <c r="G61" s="48"/>
      <c r="H61" s="27"/>
      <c r="I61" s="36">
        <v>34.9725</v>
      </c>
      <c r="J61" s="36"/>
      <c r="K61" s="70"/>
      <c r="L61" s="70"/>
      <c r="M61" s="65"/>
      <c r="N61" s="65"/>
      <c r="O61" s="65"/>
      <c r="P61" s="65"/>
    </row>
    <row r="62" spans="1:16">
      <c r="A62" s="24">
        <v>18</v>
      </c>
      <c r="B62" s="24" t="s">
        <v>147</v>
      </c>
      <c r="C62" s="24">
        <v>110</v>
      </c>
      <c r="D62" s="17" t="s">
        <v>148</v>
      </c>
      <c r="E62" s="39"/>
      <c r="F62" s="49">
        <v>5</v>
      </c>
      <c r="G62" s="36" t="s">
        <v>149</v>
      </c>
      <c r="H62" s="50" t="s">
        <v>21</v>
      </c>
      <c r="I62" s="40">
        <v>480.9259</v>
      </c>
      <c r="J62" s="76">
        <f>I62+I63</f>
        <v>887.2169</v>
      </c>
      <c r="K62" s="68" t="s">
        <v>59</v>
      </c>
      <c r="L62" s="81"/>
      <c r="M62" s="68" t="s">
        <v>150</v>
      </c>
      <c r="N62" s="68">
        <v>1000097878</v>
      </c>
      <c r="O62" s="68">
        <v>110</v>
      </c>
      <c r="P62" s="77" t="s">
        <v>151</v>
      </c>
    </row>
    <row r="63" ht="24" spans="1:16">
      <c r="A63" s="51"/>
      <c r="B63" s="51"/>
      <c r="C63" s="51"/>
      <c r="D63" s="52" t="s">
        <v>152</v>
      </c>
      <c r="E63" s="53">
        <v>12.53</v>
      </c>
      <c r="F63" s="54"/>
      <c r="G63" s="55"/>
      <c r="H63" s="56"/>
      <c r="I63" s="82">
        <v>406.291</v>
      </c>
      <c r="J63" s="83"/>
      <c r="K63" s="84" t="s">
        <v>59</v>
      </c>
      <c r="L63" s="85"/>
      <c r="M63" s="84" t="s">
        <v>150</v>
      </c>
      <c r="N63" s="84">
        <v>1000097878</v>
      </c>
      <c r="O63" s="84">
        <v>130</v>
      </c>
      <c r="P63" s="86" t="s">
        <v>153</v>
      </c>
    </row>
    <row r="65" spans="4:7">
      <c r="D65" s="91"/>
      <c r="G65" s="92"/>
    </row>
    <row r="66" spans="4:4">
      <c r="D66"/>
    </row>
    <row r="67" spans="4:4">
      <c r="D67" s="93"/>
    </row>
    <row r="68" spans="3:4">
      <c r="C68" s="94"/>
      <c r="D68" s="93"/>
    </row>
    <row r="69" spans="3:4">
      <c r="C69" s="94"/>
      <c r="D69" s="93"/>
    </row>
    <row r="70" spans="3:3">
      <c r="C70" s="94"/>
    </row>
    <row r="71" spans="3:3">
      <c r="C71" s="94"/>
    </row>
    <row r="72" spans="3:3">
      <c r="C72" s="94"/>
    </row>
    <row r="73" spans="3:3">
      <c r="C73" s="94"/>
    </row>
    <row r="74" spans="3:3">
      <c r="C74" s="94"/>
    </row>
    <row r="75" spans="3:3">
      <c r="C75" s="94"/>
    </row>
    <row r="76" spans="3:3">
      <c r="C76" s="94"/>
    </row>
    <row r="77" spans="3:3">
      <c r="C77" s="94"/>
    </row>
    <row r="78" spans="3:3">
      <c r="C78" s="94"/>
    </row>
  </sheetData>
  <mergeCells count="119">
    <mergeCell ref="A1:P1"/>
    <mergeCell ref="E2:F2"/>
    <mergeCell ref="M2:P2"/>
    <mergeCell ref="A2:A3"/>
    <mergeCell ref="A7:A8"/>
    <mergeCell ref="A9:A11"/>
    <mergeCell ref="A14:A22"/>
    <mergeCell ref="A23:A28"/>
    <mergeCell ref="A29:A34"/>
    <mergeCell ref="A38:A43"/>
    <mergeCell ref="A44:A47"/>
    <mergeCell ref="A48:A54"/>
    <mergeCell ref="A55:A61"/>
    <mergeCell ref="A62:A63"/>
    <mergeCell ref="B2:B3"/>
    <mergeCell ref="B7:B8"/>
    <mergeCell ref="B9:B11"/>
    <mergeCell ref="B14:B22"/>
    <mergeCell ref="B23:B28"/>
    <mergeCell ref="B29:B34"/>
    <mergeCell ref="B38:B43"/>
    <mergeCell ref="B44:B47"/>
    <mergeCell ref="B48:B54"/>
    <mergeCell ref="B55:B61"/>
    <mergeCell ref="B62:B63"/>
    <mergeCell ref="C2:C3"/>
    <mergeCell ref="C7:C8"/>
    <mergeCell ref="C9:C11"/>
    <mergeCell ref="C14:C22"/>
    <mergeCell ref="C23:C28"/>
    <mergeCell ref="C29:C34"/>
    <mergeCell ref="C38:C43"/>
    <mergeCell ref="C44:C47"/>
    <mergeCell ref="C48:C54"/>
    <mergeCell ref="C55:C61"/>
    <mergeCell ref="C62:C63"/>
    <mergeCell ref="D2:D3"/>
    <mergeCell ref="G2:G3"/>
    <mergeCell ref="G7:G8"/>
    <mergeCell ref="G9:G11"/>
    <mergeCell ref="G14:G22"/>
    <mergeCell ref="G23:G28"/>
    <mergeCell ref="G29:G34"/>
    <mergeCell ref="G38:G54"/>
    <mergeCell ref="G55:G61"/>
    <mergeCell ref="G62:G63"/>
    <mergeCell ref="H2:H3"/>
    <mergeCell ref="H7:H8"/>
    <mergeCell ref="H9:H11"/>
    <mergeCell ref="H14:H22"/>
    <mergeCell ref="H23:H28"/>
    <mergeCell ref="H29:H34"/>
    <mergeCell ref="H38:H43"/>
    <mergeCell ref="H44:H47"/>
    <mergeCell ref="H48:H54"/>
    <mergeCell ref="H55:H61"/>
    <mergeCell ref="H62:H63"/>
    <mergeCell ref="I2:I3"/>
    <mergeCell ref="J2:J3"/>
    <mergeCell ref="J7:J8"/>
    <mergeCell ref="J9:J11"/>
    <mergeCell ref="J14:J22"/>
    <mergeCell ref="J23:J28"/>
    <mergeCell ref="J29:J34"/>
    <mergeCell ref="J35:J36"/>
    <mergeCell ref="J38:J43"/>
    <mergeCell ref="J44:J47"/>
    <mergeCell ref="J48:J54"/>
    <mergeCell ref="J55:J61"/>
    <mergeCell ref="J62:J63"/>
    <mergeCell ref="K2:K3"/>
    <mergeCell ref="K5:K8"/>
    <mergeCell ref="K14:K22"/>
    <mergeCell ref="K23:K28"/>
    <mergeCell ref="K29:K34"/>
    <mergeCell ref="K38:K39"/>
    <mergeCell ref="K40:K43"/>
    <mergeCell ref="K44:K47"/>
    <mergeCell ref="K48:K54"/>
    <mergeCell ref="L2:L3"/>
    <mergeCell ref="L5:L8"/>
    <mergeCell ref="L29:L34"/>
    <mergeCell ref="L44:L47"/>
    <mergeCell ref="L48:L54"/>
    <mergeCell ref="L62:L63"/>
    <mergeCell ref="M5:M8"/>
    <mergeCell ref="M14:M22"/>
    <mergeCell ref="M23:M28"/>
    <mergeCell ref="M29:M34"/>
    <mergeCell ref="M38:M39"/>
    <mergeCell ref="M40:M43"/>
    <mergeCell ref="M44:M47"/>
    <mergeCell ref="M48:M54"/>
    <mergeCell ref="N5:N8"/>
    <mergeCell ref="N14:N22"/>
    <mergeCell ref="N23:N28"/>
    <mergeCell ref="N29:N34"/>
    <mergeCell ref="N38:N39"/>
    <mergeCell ref="N40:N43"/>
    <mergeCell ref="N44:N47"/>
    <mergeCell ref="N48:N54"/>
    <mergeCell ref="O6:O8"/>
    <mergeCell ref="O14:O22"/>
    <mergeCell ref="O23:O28"/>
    <mergeCell ref="O29:O34"/>
    <mergeCell ref="O38:O39"/>
    <mergeCell ref="O40:O43"/>
    <mergeCell ref="O44:O47"/>
    <mergeCell ref="O48:O54"/>
    <mergeCell ref="P6:P8"/>
    <mergeCell ref="P14:P22"/>
    <mergeCell ref="P23:P28"/>
    <mergeCell ref="P29:P34"/>
    <mergeCell ref="P38:P39"/>
    <mergeCell ref="P40:P43"/>
    <mergeCell ref="P44:P47"/>
    <mergeCell ref="P48:P54"/>
    <mergeCell ref="Q29:Q34"/>
    <mergeCell ref="Q48:Q54"/>
  </mergeCells>
  <printOptions horizontalCentered="1"/>
  <pageMargins left="0.75" right="0.75" top="0.98" bottom="0.98" header="0.51" footer="0.51"/>
  <pageSetup paperSize="8" fitToHeight="0" orientation="landscape" useFirstPageNumber="1" horizontalDpi="600" verticalDpi="200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施工18个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佟月珍</dc:creator>
  <cp:lastModifiedBy>佟月珍</cp:lastModifiedBy>
  <dcterms:created xsi:type="dcterms:W3CDTF">2025-05-12T03:00:00Z</dcterms:created>
  <dcterms:modified xsi:type="dcterms:W3CDTF">2025-05-12T03:03:37Z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